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G191201\Downloads\__프로그램\SUB-PJT-excel-format-with-vba\sample\"/>
    </mc:Choice>
  </mc:AlternateContent>
  <bookViews>
    <workbookView xWindow="0" yWindow="0" windowWidth="28800" windowHeight="12390"/>
  </bookViews>
  <sheets>
    <sheet name="견적서" sheetId="1" r:id="rId1"/>
  </sheets>
  <functionGroups builtInGroupCount="18"/>
  <definedNames>
    <definedName name="_xlnm.Print_Area" localSheetId="0">견적서!$A$1:$I$55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1" l="1"/>
  <c r="M21" i="1"/>
  <c r="A41" i="1"/>
  <c r="M26" i="1"/>
  <c r="M29" i="1"/>
  <c r="M30" i="1"/>
  <c r="M32" i="1"/>
  <c r="G22" i="1"/>
  <c r="G21" i="1"/>
  <c r="H21" i="1" s="1"/>
  <c r="H22" i="1"/>
  <c r="H51" i="1"/>
  <c r="M31" i="1" l="1"/>
  <c r="M25" i="1"/>
  <c r="M28" i="1"/>
  <c r="M24" i="1"/>
  <c r="M27" i="1"/>
  <c r="M23" i="1"/>
  <c r="N33" i="1"/>
  <c r="C8" i="1" l="1"/>
  <c r="G53" i="1" l="1"/>
  <c r="E51" i="1"/>
  <c r="M33" i="1" l="1"/>
  <c r="H15" i="1"/>
  <c r="G51" i="1"/>
</calcChain>
</file>

<file path=xl/sharedStrings.xml><?xml version="1.0" encoding="utf-8"?>
<sst xmlns="http://schemas.openxmlformats.org/spreadsheetml/2006/main" count="51" uniqueCount="51">
  <si>
    <t>공급자</t>
    <phoneticPr fontId="5" type="noConversion"/>
  </si>
  <si>
    <t>견적일</t>
    <phoneticPr fontId="5" type="noConversion"/>
  </si>
  <si>
    <t>상호</t>
    <phoneticPr fontId="5" type="noConversion"/>
  </si>
  <si>
    <t>견적명</t>
    <phoneticPr fontId="5" type="noConversion"/>
  </si>
  <si>
    <t>등록번호</t>
    <phoneticPr fontId="5" type="noConversion"/>
  </si>
  <si>
    <t>설치장소</t>
    <phoneticPr fontId="5" type="noConversion"/>
  </si>
  <si>
    <t>주소</t>
    <phoneticPr fontId="5" type="noConversion"/>
  </si>
  <si>
    <t>계약기간</t>
    <phoneticPr fontId="5" type="noConversion"/>
  </si>
  <si>
    <t>견적자</t>
    <phoneticPr fontId="12" type="noConversion"/>
  </si>
  <si>
    <t>전화</t>
    <phoneticPr fontId="12" type="noConversion"/>
  </si>
  <si>
    <t>이메일</t>
    <phoneticPr fontId="5" type="noConversion"/>
  </si>
  <si>
    <r>
      <rPr>
        <sz val="15"/>
        <color indexed="8"/>
        <rFont val="맑은 고딕"/>
        <family val="3"/>
        <charset val="129"/>
      </rPr>
      <t xml:space="preserve"> 합계금액</t>
    </r>
    <r>
      <rPr>
        <sz val="14"/>
        <color indexed="8"/>
        <rFont val="맑은 고딕"/>
        <family val="3"/>
        <charset val="129"/>
      </rPr>
      <t xml:space="preserve"> </t>
    </r>
    <r>
      <rPr>
        <sz val="9"/>
        <color indexed="8"/>
        <rFont val="맑은 고딕"/>
        <family val="3"/>
        <charset val="129"/>
      </rPr>
      <t>(공급가액 + 세액)</t>
    </r>
    <r>
      <rPr>
        <sz val="14"/>
        <color indexed="8"/>
        <rFont val="맑은 고딕"/>
        <family val="3"/>
        <charset val="129"/>
      </rPr>
      <t xml:space="preserve"> </t>
    </r>
    <phoneticPr fontId="5" type="noConversion"/>
  </si>
  <si>
    <t>(연 납입금액)</t>
  </si>
  <si>
    <t>NO</t>
    <phoneticPr fontId="5" type="noConversion"/>
  </si>
  <si>
    <t>수량</t>
    <phoneticPr fontId="5" type="noConversion"/>
  </si>
  <si>
    <r>
      <t>대당단가</t>
    </r>
    <r>
      <rPr>
        <sz val="6"/>
        <color indexed="8"/>
        <rFont val="맑은 고딕"/>
        <family val="3"/>
        <charset val="129"/>
      </rPr>
      <t>(원)</t>
    </r>
    <phoneticPr fontId="5" type="noConversion"/>
  </si>
  <si>
    <r>
      <t>월 관리금액</t>
    </r>
    <r>
      <rPr>
        <sz val="6"/>
        <color indexed="8"/>
        <rFont val="맑은 고딕"/>
        <family val="3"/>
        <charset val="129"/>
      </rPr>
      <t>(원)</t>
    </r>
    <phoneticPr fontId="5" type="noConversion"/>
  </si>
  <si>
    <r>
      <t>년 관리금액</t>
    </r>
    <r>
      <rPr>
        <sz val="6"/>
        <color indexed="8"/>
        <rFont val="맑은 고딕"/>
        <family val="3"/>
        <charset val="129"/>
      </rPr>
      <t>(원)</t>
    </r>
    <phoneticPr fontId="5" type="noConversion"/>
  </si>
  <si>
    <t>비고</t>
    <phoneticPr fontId="5" type="noConversion"/>
  </si>
  <si>
    <t>소계</t>
    <phoneticPr fontId="5" type="noConversion"/>
  </si>
  <si>
    <t>할인</t>
    <phoneticPr fontId="12" type="noConversion"/>
  </si>
  <si>
    <t>합계</t>
    <phoneticPr fontId="5" type="noConversion"/>
  </si>
  <si>
    <t>견 적 서</t>
    <phoneticPr fontId="5" type="noConversion"/>
  </si>
  <si>
    <t>제품명</t>
    <phoneticPr fontId="5" type="noConversion"/>
  </si>
  <si>
    <t>월별</t>
    <phoneticPr fontId="3" type="noConversion"/>
  </si>
  <si>
    <t>3月</t>
    <phoneticPr fontId="3" type="noConversion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</si>
  <si>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</si>
  <si>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</si>
  <si>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</si>
  <si>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</si>
  <si>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</si>
  <si>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</si>
  <si>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</si>
  <si>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</si>
  <si>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</si>
  <si>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합계</t>
    <phoneticPr fontId="3" type="noConversion"/>
  </si>
  <si>
    <t>위치</t>
    <phoneticPr fontId="3" type="noConversion"/>
  </si>
  <si>
    <t>제품구분</t>
    <phoneticPr fontId="3" type="noConversion"/>
  </si>
  <si>
    <t>귀하</t>
    <phoneticPr fontId="3" type="noConversion"/>
  </si>
  <si>
    <t>주방</t>
    <phoneticPr fontId="3" type="noConversion"/>
  </si>
  <si>
    <t>▼ 유지관리 ·························</t>
    <phoneticPr fontId="3" type="noConversion"/>
  </si>
  <si>
    <t>* 소계는 기존계약금액을 표기</t>
    <phoneticPr fontId="3" type="noConversion"/>
  </si>
  <si>
    <t>기존청구금액</t>
    <phoneticPr fontId="3" type="noConversion"/>
  </si>
  <si>
    <t>변경청구금액</t>
    <phoneticPr fontId="3" type="noConversion"/>
  </si>
  <si>
    <t>2024.03.01. ~ 2025.02.28. (12개월)</t>
    <phoneticPr fontId="5" type="noConversion"/>
  </si>
  <si>
    <t>1月</t>
    <phoneticPr fontId="3" type="noConversion"/>
  </si>
  <si>
    <t>2月</t>
    <phoneticPr fontId="3" type="noConversion"/>
  </si>
  <si>
    <t>240701부터</t>
    <phoneticPr fontId="3" type="noConversion"/>
  </si>
  <si>
    <t>제품 1대 기존 유지관리 만기해지 및 신규 유지관리 시작</t>
    <phoneticPr fontId="3" type="noConversion"/>
  </si>
  <si>
    <t>사무실</t>
    <phoneticPr fontId="3" type="noConversion"/>
  </si>
  <si>
    <t>24년 유지임대관리 견적서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</si>
</sst>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0\ &quot;년&quot;"/>
    <numFmt numFmtId="177" formatCode="&quot;₩&quot;#,##0"/>
    <numFmt numFmtId="178" formatCode="#,##0\ &quot;원&quot;"/>
    <numFmt numFmtId="179" formatCode="##\ &quot;대&quot;"/>
    <numFmt numFmtId="180" formatCode="#,##0;[Red]#,##0"/>
    <numFmt numFmtId="181" formatCode="#,###\ &quot;원&quot;"/>
    <numFmt numFmtId="182" formatCode="#,##0\(\5&quot;개&quot;&quot;월&quot;\)"/>
    <numFmt numFmtId="183" formatCode="#,##0\(\4&quot;개&quot;&quot;월&quot;\)"/>
    <numFmt numFmtId="184" formatCode="#,##0\(\1\2&quot;개&quot;&quot;월&quot;\)"/>
  </numFmts>
  <fonts count="3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b/>
      <sz val="30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8"/>
      <name val="돋움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ajor"/>
    </font>
    <font>
      <b/>
      <sz val="8.5"/>
      <color theme="1"/>
      <name val="맑은 고딕"/>
      <family val="3"/>
      <charset val="129"/>
      <scheme val="major"/>
    </font>
    <font>
      <sz val="14"/>
      <color indexed="8"/>
      <name val="맑은 고딕"/>
      <family val="3"/>
      <charset val="129"/>
      <scheme val="major"/>
    </font>
    <font>
      <sz val="15"/>
      <color indexed="8"/>
      <name val="맑은 고딕"/>
      <family val="3"/>
      <charset val="129"/>
    </font>
    <font>
      <sz val="14"/>
      <color indexed="8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4"/>
      <color theme="1"/>
      <name val="맑은 고딕"/>
      <family val="3"/>
      <charset val="129"/>
      <scheme val="major"/>
    </font>
    <font>
      <b/>
      <sz val="19"/>
      <color theme="1"/>
      <name val="맑은 고딕"/>
      <family val="3"/>
      <charset val="129"/>
      <scheme val="major"/>
    </font>
    <font>
      <sz val="6"/>
      <color indexed="8"/>
      <name val="맑은 고딕"/>
      <family val="3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41" fontId="28" fillId="0" borderId="0" applyFon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2" fillId="2" borderId="0" xfId="1" applyFont="1" applyFill="1">
      <alignment vertical="center"/>
    </xf>
    <xf numFmtId="0" fontId="2" fillId="0" borderId="0" xfId="1" applyFont="1">
      <alignment vertical="center"/>
    </xf>
    <xf numFmtId="0" fontId="2" fillId="2" borderId="0" xfId="1" applyFont="1" applyFill="1" applyAlignment="1">
      <alignment vertical="center"/>
    </xf>
    <xf numFmtId="0" fontId="6" fillId="2" borderId="0" xfId="1" applyFont="1" applyFill="1" applyAlignment="1">
      <alignment horizontal="center" vertical="center"/>
    </xf>
    <xf numFmtId="0" fontId="2" fillId="2" borderId="0" xfId="1" applyFont="1" applyFill="1" applyBorder="1" applyAlignment="1">
      <alignment vertical="center"/>
    </xf>
    <xf numFmtId="0" fontId="4" fillId="2" borderId="0" xfId="1" applyFont="1" applyFill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2" xfId="1" applyFont="1" applyFill="1" applyBorder="1" applyAlignment="1">
      <alignment vertical="center"/>
    </xf>
    <xf numFmtId="0" fontId="8" fillId="2" borderId="3" xfId="1" applyFont="1" applyFill="1" applyBorder="1" applyAlignment="1">
      <alignment horizontal="left" vertical="center"/>
    </xf>
    <xf numFmtId="0" fontId="10" fillId="2" borderId="3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14" fillId="2" borderId="3" xfId="2" applyFont="1" applyFill="1" applyBorder="1">
      <alignment vertical="center"/>
    </xf>
    <xf numFmtId="0" fontId="8" fillId="2" borderId="0" xfId="1" applyFont="1" applyFill="1" applyBorder="1" applyAlignment="1">
      <alignment horizontal="left" vertical="center" wrapText="1"/>
    </xf>
    <xf numFmtId="0" fontId="8" fillId="2" borderId="5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vertical="center"/>
    </xf>
    <xf numFmtId="0" fontId="2" fillId="3" borderId="0" xfId="1" applyFont="1" applyFill="1" applyBorder="1">
      <alignment vertical="center"/>
    </xf>
    <xf numFmtId="0" fontId="2" fillId="2" borderId="1" xfId="1" applyFont="1" applyFill="1" applyBorder="1">
      <alignment vertical="center"/>
    </xf>
    <xf numFmtId="0" fontId="2" fillId="2" borderId="0" xfId="1" applyFont="1" applyFill="1" applyBorder="1">
      <alignment vertical="center"/>
    </xf>
    <xf numFmtId="0" fontId="11" fillId="0" borderId="0" xfId="1" applyFont="1">
      <alignment vertical="center"/>
    </xf>
    <xf numFmtId="0" fontId="11" fillId="2" borderId="0" xfId="1" applyFont="1" applyFill="1" applyBorder="1" applyAlignment="1">
      <alignment vertical="center"/>
    </xf>
    <xf numFmtId="49" fontId="2" fillId="2" borderId="10" xfId="1" applyNumberFormat="1" applyFont="1" applyFill="1" applyBorder="1" applyAlignment="1">
      <alignment vertical="center"/>
    </xf>
    <xf numFmtId="179" fontId="24" fillId="3" borderId="10" xfId="1" applyNumberFormat="1" applyFont="1" applyFill="1" applyBorder="1" applyAlignment="1">
      <alignment horizontal="center" vertical="center"/>
    </xf>
    <xf numFmtId="178" fontId="24" fillId="2" borderId="10" xfId="1" applyNumberFormat="1" applyFont="1" applyFill="1" applyBorder="1" applyAlignment="1">
      <alignment vertical="center"/>
    </xf>
    <xf numFmtId="49" fontId="2" fillId="2" borderId="11" xfId="1" applyNumberFormat="1" applyFont="1" applyFill="1" applyBorder="1" applyAlignment="1">
      <alignment vertical="center"/>
    </xf>
    <xf numFmtId="49" fontId="2" fillId="2" borderId="12" xfId="1" applyNumberFormat="1" applyFont="1" applyFill="1" applyBorder="1" applyAlignment="1">
      <alignment vertical="center"/>
    </xf>
    <xf numFmtId="178" fontId="24" fillId="2" borderId="12" xfId="1" applyNumberFormat="1" applyFont="1" applyFill="1" applyBorder="1" applyAlignment="1">
      <alignment vertical="center"/>
    </xf>
    <xf numFmtId="0" fontId="11" fillId="3" borderId="6" xfId="1" applyFont="1" applyFill="1" applyBorder="1" applyAlignment="1">
      <alignment horizontal="center" vertical="center"/>
    </xf>
    <xf numFmtId="3" fontId="11" fillId="2" borderId="7" xfId="3" applyNumberFormat="1" applyFont="1" applyFill="1" applyBorder="1" applyAlignment="1">
      <alignment horizontal="center" vertical="center"/>
    </xf>
    <xf numFmtId="49" fontId="11" fillId="3" borderId="15" xfId="1" applyNumberFormat="1" applyFont="1" applyFill="1" applyBorder="1" applyAlignment="1">
      <alignment horizontal="center" vertical="center"/>
    </xf>
    <xf numFmtId="0" fontId="11" fillId="3" borderId="16" xfId="1" applyFont="1" applyFill="1" applyBorder="1" applyAlignment="1">
      <alignment horizontal="center" vertical="center"/>
    </xf>
    <xf numFmtId="0" fontId="11" fillId="2" borderId="13" xfId="1" applyFont="1" applyFill="1" applyBorder="1" applyAlignment="1">
      <alignment horizontal="center" vertical="center"/>
    </xf>
    <xf numFmtId="3" fontId="8" fillId="2" borderId="14" xfId="1" applyNumberFormat="1" applyFont="1" applyFill="1" applyBorder="1" applyAlignment="1">
      <alignment horizontal="center" vertical="center"/>
    </xf>
    <xf numFmtId="0" fontId="11" fillId="2" borderId="17" xfId="1" applyFont="1" applyFill="1" applyBorder="1" applyAlignment="1">
      <alignment horizontal="center" vertical="center"/>
    </xf>
    <xf numFmtId="3" fontId="11" fillId="2" borderId="9" xfId="3" applyNumberFormat="1" applyFont="1" applyFill="1" applyBorder="1" applyAlignment="1">
      <alignment horizontal="center" vertical="center"/>
    </xf>
    <xf numFmtId="3" fontId="8" fillId="2" borderId="18" xfId="1" applyNumberFormat="1" applyFont="1" applyFill="1" applyBorder="1" applyAlignment="1">
      <alignment horizontal="center" vertical="center"/>
    </xf>
    <xf numFmtId="0" fontId="11" fillId="0" borderId="6" xfId="1" applyFont="1" applyBorder="1">
      <alignment vertical="center"/>
    </xf>
    <xf numFmtId="41" fontId="11" fillId="0" borderId="6" xfId="5" applyFont="1" applyBorder="1">
      <alignment vertical="center"/>
    </xf>
    <xf numFmtId="0" fontId="11" fillId="4" borderId="6" xfId="1" applyFont="1" applyFill="1" applyBorder="1">
      <alignment vertical="center"/>
    </xf>
    <xf numFmtId="3" fontId="11" fillId="2" borderId="7" xfId="1" applyNumberFormat="1" applyFont="1" applyFill="1" applyBorder="1" applyAlignment="1">
      <alignment horizontal="center" vertical="center"/>
    </xf>
    <xf numFmtId="3" fontId="11" fillId="2" borderId="9" xfId="1" applyNumberFormat="1" applyFont="1" applyFill="1" applyBorder="1" applyAlignment="1">
      <alignment horizontal="center" vertical="center"/>
    </xf>
    <xf numFmtId="180" fontId="25" fillId="2" borderId="10" xfId="1" applyNumberFormat="1" applyFont="1" applyFill="1" applyBorder="1" applyAlignment="1">
      <alignment horizontal="center" vertical="center"/>
    </xf>
    <xf numFmtId="178" fontId="24" fillId="3" borderId="10" xfId="1" applyNumberFormat="1" applyFont="1" applyFill="1" applyBorder="1" applyAlignment="1">
      <alignment horizontal="center" vertical="center"/>
    </xf>
    <xf numFmtId="180" fontId="10" fillId="2" borderId="12" xfId="1" applyNumberFormat="1" applyFont="1" applyFill="1" applyBorder="1" applyAlignment="1">
      <alignment horizontal="right" vertical="center"/>
    </xf>
    <xf numFmtId="178" fontId="24" fillId="2" borderId="12" xfId="1" applyNumberFormat="1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left"/>
    </xf>
    <xf numFmtId="0" fontId="8" fillId="2" borderId="3" xfId="1" applyFont="1" applyFill="1" applyBorder="1" applyAlignment="1">
      <alignment horizontal="left" vertical="center"/>
    </xf>
    <xf numFmtId="3" fontId="11" fillId="2" borderId="8" xfId="1" applyNumberFormat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left" vertical="center" wrapText="1"/>
    </xf>
    <xf numFmtId="0" fontId="6" fillId="2" borderId="3" xfId="1" applyFont="1" applyFill="1" applyBorder="1" applyAlignment="1">
      <alignment horizontal="center"/>
    </xf>
    <xf numFmtId="0" fontId="8" fillId="2" borderId="1" xfId="1" applyFont="1" applyFill="1" applyBorder="1" applyAlignment="1">
      <alignment horizontal="right"/>
    </xf>
    <xf numFmtId="0" fontId="11" fillId="3" borderId="6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right" vertical="center"/>
    </xf>
    <xf numFmtId="49" fontId="11" fillId="2" borderId="7" xfId="1" applyNumberFormat="1" applyFont="1" applyFill="1" applyBorder="1" applyAlignment="1">
      <alignment vertical="center"/>
    </xf>
    <xf numFmtId="0" fontId="2" fillId="2" borderId="0" xfId="1" applyFont="1" applyFill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11" fillId="4" borderId="0" xfId="1" applyFont="1" applyFill="1" applyBorder="1">
      <alignment vertical="center"/>
    </xf>
    <xf numFmtId="41" fontId="11" fillId="4" borderId="0" xfId="5" applyFont="1" applyFill="1" applyBorder="1">
      <alignment vertical="center"/>
    </xf>
    <xf numFmtId="0" fontId="9" fillId="2" borderId="2" xfId="1" applyFont="1" applyFill="1" applyBorder="1" applyAlignment="1">
      <alignment horizontal="left" vertical="center"/>
    </xf>
    <xf numFmtId="0" fontId="30" fillId="2" borderId="0" xfId="0" applyFont="1" applyFill="1" applyAlignment="1">
      <alignment horizontal="center" vertical="center"/>
    </xf>
    <xf numFmtId="3" fontId="8" fillId="2" borderId="13" xfId="1" applyNumberFormat="1" applyFont="1" applyFill="1" applyBorder="1" applyAlignment="1">
      <alignment horizontal="center" vertical="center"/>
    </xf>
    <xf numFmtId="182" fontId="11" fillId="2" borderId="7" xfId="1" applyNumberFormat="1" applyFont="1" applyFill="1" applyBorder="1" applyAlignment="1">
      <alignment horizontal="center" vertical="center"/>
    </xf>
    <xf numFmtId="3" fontId="11" fillId="2" borderId="17" xfId="1" applyNumberFormat="1" applyFont="1" applyFill="1" applyBorder="1" applyAlignment="1">
      <alignment horizontal="center" vertical="center"/>
    </xf>
    <xf numFmtId="49" fontId="11" fillId="3" borderId="15" xfId="1" applyNumberFormat="1" applyFont="1" applyFill="1" applyBorder="1" applyAlignment="1">
      <alignment horizontal="center" vertical="center"/>
    </xf>
    <xf numFmtId="3" fontId="11" fillId="2" borderId="13" xfId="1" applyNumberFormat="1" applyFont="1" applyFill="1" applyBorder="1" applyAlignment="1">
      <alignment horizontal="center" vertical="center"/>
    </xf>
    <xf numFmtId="41" fontId="11" fillId="2" borderId="13" xfId="1" applyNumberFormat="1" applyFont="1" applyFill="1" applyBorder="1" applyAlignment="1">
      <alignment horizontal="center" vertical="center"/>
    </xf>
    <xf numFmtId="178" fontId="24" fillId="3" borderId="10" xfId="1" applyNumberFormat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left" vertical="center"/>
    </xf>
    <xf numFmtId="49" fontId="11" fillId="2" borderId="19" xfId="1" applyNumberFormat="1" applyFont="1" applyFill="1" applyBorder="1" applyAlignment="1">
      <alignment horizontal="center" vertical="center"/>
    </xf>
    <xf numFmtId="0" fontId="11" fillId="2" borderId="13" xfId="1" applyNumberFormat="1" applyFont="1" applyFill="1" applyBorder="1" applyAlignment="1">
      <alignment horizontal="center" vertical="center"/>
    </xf>
    <xf numFmtId="0" fontId="11" fillId="3" borderId="15" xfId="1" applyFont="1" applyFill="1" applyBorder="1" applyAlignment="1">
      <alignment horizontal="center" vertical="center"/>
    </xf>
    <xf numFmtId="3" fontId="11" fillId="2" borderId="19" xfId="1" applyNumberFormat="1" applyFont="1" applyFill="1" applyBorder="1" applyAlignment="1">
      <alignment horizontal="center" vertical="center"/>
    </xf>
    <xf numFmtId="183" fontId="11" fillId="2" borderId="7" xfId="1" applyNumberFormat="1" applyFont="1" applyFill="1" applyBorder="1" applyAlignment="1">
      <alignment horizontal="center" vertical="center"/>
    </xf>
    <xf numFmtId="3" fontId="8" fillId="2" borderId="14" xfId="1" applyNumberFormat="1" applyFont="1" applyFill="1" applyBorder="1" applyAlignment="1">
      <alignment horizontal="center" vertical="center" wrapText="1"/>
    </xf>
    <xf numFmtId="0" fontId="11" fillId="2" borderId="9" xfId="1" applyNumberFormat="1" applyFont="1" applyFill="1" applyBorder="1" applyAlignment="1">
      <alignment horizontal="center" vertical="center"/>
    </xf>
    <xf numFmtId="0" fontId="11" fillId="2" borderId="1" xfId="1" applyNumberFormat="1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3" fontId="8" fillId="2" borderId="7" xfId="1" applyNumberFormat="1" applyFont="1" applyFill="1" applyBorder="1" applyAlignment="1">
      <alignment horizontal="center" vertical="center"/>
    </xf>
    <xf numFmtId="3" fontId="8" fillId="2" borderId="17" xfId="1" applyNumberFormat="1" applyFont="1" applyFill="1" applyBorder="1" applyAlignment="1">
      <alignment horizontal="center" vertical="center"/>
    </xf>
    <xf numFmtId="184" fontId="11" fillId="2" borderId="7" xfId="1" applyNumberFormat="1" applyFont="1" applyFill="1" applyBorder="1" applyAlignment="1">
      <alignment horizontal="center" vertical="center"/>
    </xf>
    <xf numFmtId="3" fontId="8" fillId="5" borderId="14" xfId="1" applyNumberFormat="1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 vertical="center"/>
    </xf>
    <xf numFmtId="3" fontId="11" fillId="5" borderId="13" xfId="1" applyNumberFormat="1" applyFont="1" applyFill="1" applyBorder="1" applyAlignment="1">
      <alignment horizontal="center" vertical="center"/>
    </xf>
    <xf numFmtId="3" fontId="8" fillId="5" borderId="13" xfId="1" applyNumberFormat="1" applyFont="1" applyFill="1" applyBorder="1" applyAlignment="1">
      <alignment horizontal="center" vertical="center"/>
    </xf>
    <xf numFmtId="3" fontId="11" fillId="5" borderId="7" xfId="1" applyNumberFormat="1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184" fontId="11" fillId="5" borderId="7" xfId="1" applyNumberFormat="1" applyFon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/>
    </xf>
    <xf numFmtId="14" fontId="6" fillId="2" borderId="3" xfId="1" applyNumberFormat="1" applyFont="1" applyFill="1" applyBorder="1" applyAlignment="1">
      <alignment horizontal="center"/>
    </xf>
    <xf numFmtId="0" fontId="4" fillId="2" borderId="0" xfId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16" fillId="3" borderId="0" xfId="1" applyFont="1" applyFill="1" applyBorder="1" applyAlignment="1">
      <alignment horizontal="left" vertical="center"/>
    </xf>
    <xf numFmtId="0" fontId="20" fillId="3" borderId="0" xfId="1" applyFont="1" applyFill="1" applyBorder="1" applyAlignment="1">
      <alignment horizontal="left" vertical="center"/>
    </xf>
    <xf numFmtId="177" fontId="8" fillId="3" borderId="0" xfId="1" applyNumberFormat="1" applyFont="1" applyFill="1" applyBorder="1" applyAlignment="1">
      <alignment horizontal="right" vertical="center"/>
    </xf>
    <xf numFmtId="178" fontId="21" fillId="3" borderId="0" xfId="1" applyNumberFormat="1" applyFont="1" applyFill="1" applyBorder="1" applyAlignment="1">
      <alignment horizontal="right" vertical="center"/>
    </xf>
    <xf numFmtId="0" fontId="8" fillId="2" borderId="4" xfId="1" applyFont="1" applyFill="1" applyBorder="1" applyAlignment="1">
      <alignment horizontal="left" vertical="center" wrapText="1"/>
    </xf>
    <xf numFmtId="0" fontId="8" fillId="2" borderId="1" xfId="1" applyFont="1" applyFill="1" applyBorder="1" applyAlignment="1">
      <alignment horizontal="left" vertical="center"/>
    </xf>
    <xf numFmtId="0" fontId="8" fillId="2" borderId="1" xfId="1" applyFont="1" applyFill="1" applyBorder="1" applyAlignment="1">
      <alignment horizontal="left" vertical="center" wrapText="1"/>
    </xf>
    <xf numFmtId="14" fontId="11" fillId="2" borderId="3" xfId="1" applyNumberFormat="1" applyFont="1" applyFill="1" applyBorder="1" applyAlignment="1">
      <alignment horizontal="center"/>
    </xf>
    <xf numFmtId="0" fontId="11" fillId="2" borderId="0" xfId="1" applyFont="1" applyFill="1" applyBorder="1" applyAlignment="1">
      <alignment horizontal="center" vertical="center"/>
    </xf>
    <xf numFmtId="176" fontId="11" fillId="2" borderId="3" xfId="1" applyNumberFormat="1" applyFont="1" applyFill="1" applyBorder="1" applyAlignment="1">
      <alignment horizontal="center"/>
    </xf>
    <xf numFmtId="0" fontId="31" fillId="0" borderId="5" xfId="0" applyFont="1" applyBorder="1">
      <alignment vertical="center"/>
    </xf>
    <xf numFmtId="0" fontId="29" fillId="0" borderId="5" xfId="0" applyFont="1" applyBorder="1">
      <alignment vertical="center"/>
    </xf>
    <xf numFmtId="49" fontId="24" fillId="3" borderId="10" xfId="1" applyNumberFormat="1" applyFont="1" applyFill="1" applyBorder="1" applyAlignment="1">
      <alignment horizontal="center" vertical="center"/>
    </xf>
    <xf numFmtId="0" fontId="26" fillId="2" borderId="0" xfId="1" applyFont="1" applyFill="1" applyAlignment="1">
      <alignment horizontal="center" vertical="center"/>
    </xf>
    <xf numFmtId="49" fontId="24" fillId="3" borderId="11" xfId="1" applyNumberFormat="1" applyFont="1" applyFill="1" applyBorder="1" applyAlignment="1">
      <alignment horizontal="center" vertical="center"/>
    </xf>
    <xf numFmtId="49" fontId="2" fillId="0" borderId="11" xfId="1" applyNumberFormat="1" applyFont="1" applyFill="1" applyBorder="1" applyAlignment="1">
      <alignment horizontal="center" vertical="center"/>
    </xf>
    <xf numFmtId="181" fontId="24" fillId="3" borderId="11" xfId="1" applyNumberFormat="1" applyFont="1" applyFill="1" applyBorder="1" applyAlignment="1">
      <alignment horizontal="center" vertical="center"/>
    </xf>
    <xf numFmtId="49" fontId="24" fillId="3" borderId="12" xfId="1" applyNumberFormat="1" applyFont="1" applyFill="1" applyBorder="1" applyAlignment="1">
      <alignment horizontal="center" vertical="center"/>
    </xf>
    <xf numFmtId="181" fontId="24" fillId="3" borderId="12" xfId="1" applyNumberFormat="1" applyFont="1" applyFill="1" applyBorder="1" applyAlignment="1">
      <alignment horizontal="center" vertical="center"/>
    </xf>
    <xf numFmtId="41" fontId="27" fillId="0" borderId="0" xfId="4" applyNumberFormat="1" applyFont="1" applyBorder="1" applyAlignment="1">
      <alignment horizontal="left" vertical="center"/>
    </xf>
    <xf numFmtId="41" fontId="27" fillId="0" borderId="0" xfId="4" applyNumberFormat="1" applyFont="1" applyBorder="1" applyAlignment="1">
      <alignment horizontal="right" vertical="center"/>
    </xf>
  </cellXfs>
  <cellStyles count="6">
    <cellStyle name="쉼표 [0]" xfId="5" builtinId="6"/>
    <cellStyle name="쉼표 [0] 2 2" xfId="3"/>
    <cellStyle name="표준" xfId="0" builtinId="0"/>
    <cellStyle name="표준 2 2" xfId="1"/>
    <cellStyle name="표준_신규 서식" xfId="4"/>
    <cellStyle name="하이퍼링크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55"/>
  <sheetViews>
    <sheetView tabSelected="1" view="pageBreakPreview" topLeftCell="A19" zoomScaleNormal="100" zoomScaleSheetLayoutView="100" workbookViewId="0"/>
  </sheetViews>
  <sheetFormatPr defaultColWidth="5.25" defaultRowHeight="16.5" x14ac:dyDescent="0.3"/>
  <cols>
    <col min="1" max="1" width="8" style="2" customWidth="1"/>
    <col min="2" max="2" width="20.625" style="2" customWidth="1"/>
    <col min="3" max="3" width="10.625" style="2" customWidth="1"/>
    <col min="4" max="4" width="15.625" style="2" customWidth="1"/>
    <col min="5" max="5" width="10.625" style="2" customWidth="1"/>
    <col min="6" max="6" width="10.625" style="59" customWidth="1"/>
    <col min="7" max="7" width="10.625" style="2" customWidth="1"/>
    <col min="8" max="8" width="15.625" style="2" customWidth="1"/>
    <col min="9" max="9" width="7.25" style="2" customWidth="1"/>
    <col min="10" max="11" width="5.25" style="2"/>
    <col min="12" max="12" width="4.625" style="2" customWidth="1"/>
    <col min="13" max="14" width="10.75" style="2" customWidth="1"/>
    <col min="15" max="16384" width="5.25" style="2"/>
  </cols>
  <sheetData>
    <row r="1" spans="1:9" x14ac:dyDescent="0.3">
      <c r="A1" s="1"/>
      <c r="B1" s="1"/>
      <c r="C1" s="1"/>
      <c r="D1" s="1"/>
      <c r="E1" s="1"/>
      <c r="F1" s="55"/>
      <c r="G1" s="1"/>
      <c r="H1" s="1"/>
      <c r="I1" s="1"/>
    </row>
    <row r="2" spans="1:9" x14ac:dyDescent="0.3">
      <c r="A2" s="1"/>
      <c r="B2" s="1"/>
      <c r="C2" s="1"/>
      <c r="D2" s="1"/>
      <c r="E2" s="1"/>
      <c r="F2" s="55"/>
      <c r="G2" s="1"/>
      <c r="H2" s="1"/>
      <c r="I2" s="1"/>
    </row>
    <row r="3" spans="1:9" ht="45" x14ac:dyDescent="0.3">
      <c r="A3" s="93" t="s">
        <v>22</v>
      </c>
      <c r="B3" s="93"/>
      <c r="C3" s="93"/>
      <c r="D3" s="93"/>
      <c r="E3" s="93"/>
      <c r="F3" s="93"/>
      <c r="G3" s="93"/>
      <c r="H3" s="93"/>
      <c r="I3" s="93"/>
    </row>
    <row r="4" spans="1:9" x14ac:dyDescent="0.3">
      <c r="A4" s="3"/>
      <c r="B4" s="3"/>
      <c r="C4" s="94"/>
      <c r="D4" s="94"/>
      <c r="E4" s="94"/>
      <c r="F4" s="94"/>
      <c r="G4" s="94"/>
      <c r="H4" s="94"/>
      <c r="I4" s="3"/>
    </row>
    <row r="5" spans="1:9" x14ac:dyDescent="0.3">
      <c r="A5" s="3"/>
      <c r="B5" s="3"/>
      <c r="C5" s="4"/>
      <c r="D5" s="4"/>
      <c r="E5" s="4"/>
      <c r="F5" s="45"/>
      <c r="G5" s="4"/>
      <c r="H5" s="4"/>
      <c r="I5" s="3"/>
    </row>
    <row r="6" spans="1:9" ht="17.25" thickBot="1" x14ac:dyDescent="0.35">
      <c r="A6" s="5"/>
      <c r="B6" s="5"/>
      <c r="C6" s="5"/>
      <c r="D6" s="5"/>
      <c r="E6" s="5"/>
      <c r="F6" s="56"/>
      <c r="G6" s="5"/>
      <c r="H6" s="5"/>
      <c r="I6" s="3"/>
    </row>
    <row r="7" spans="1:9" ht="24" customHeight="1" x14ac:dyDescent="0.3">
      <c r="A7" s="6"/>
      <c r="B7" s="95"/>
      <c r="C7" s="95"/>
      <c r="D7" s="53" t="s">
        <v>38</v>
      </c>
      <c r="E7" s="7"/>
      <c r="F7" s="62" t="s">
        <v>0</v>
      </c>
      <c r="G7" s="8"/>
      <c r="H7" s="8"/>
      <c r="I7" s="8"/>
    </row>
    <row r="8" spans="1:9" ht="24" customHeight="1" x14ac:dyDescent="0.25">
      <c r="A8" s="6"/>
      <c r="B8" s="46" t="s">
        <v>1</v>
      </c>
      <c r="C8" s="92">
        <f ca="1">TODAY()</f>
        <v>45222</v>
      </c>
      <c r="D8" s="92"/>
      <c r="E8" s="7"/>
      <c r="F8" s="47" t="s">
        <v>2</v>
      </c>
      <c r="G8" s="47"/>
      <c r="H8" s="10"/>
      <c r="I8" s="10"/>
    </row>
    <row r="9" spans="1:9" ht="24" customHeight="1" x14ac:dyDescent="0.25">
      <c r="A9" s="1"/>
      <c r="B9" s="46" t="s">
        <v>3</v>
      </c>
      <c r="C9" s="91" t="s">
        <v>50</v>
      </c>
      <c r="D9" s="91"/>
      <c r="E9" s="11"/>
      <c r="F9" s="47" t="s">
        <v>4</v>
      </c>
      <c r="G9" s="71"/>
      <c r="H9" s="12"/>
      <c r="I9" s="9"/>
    </row>
    <row r="10" spans="1:9" ht="22.5" customHeight="1" x14ac:dyDescent="0.25">
      <c r="A10" s="1"/>
      <c r="B10" s="46" t="s">
        <v>5</v>
      </c>
      <c r="C10" s="105"/>
      <c r="D10" s="105"/>
      <c r="E10" s="7"/>
      <c r="F10" s="100" t="s">
        <v>6</v>
      </c>
      <c r="G10" s="100"/>
      <c r="H10" s="100"/>
      <c r="I10" s="100"/>
    </row>
    <row r="11" spans="1:9" ht="22.5" customHeight="1" x14ac:dyDescent="0.25">
      <c r="A11" s="1"/>
      <c r="B11" s="46" t="s">
        <v>7</v>
      </c>
      <c r="C11" s="103" t="s">
        <v>44</v>
      </c>
      <c r="D11" s="103"/>
      <c r="E11" s="7"/>
      <c r="F11" s="101"/>
      <c r="G11" s="102"/>
      <c r="H11" s="102"/>
      <c r="I11" s="102"/>
    </row>
    <row r="12" spans="1:9" ht="22.5" customHeight="1" x14ac:dyDescent="0.25">
      <c r="A12" s="1"/>
      <c r="B12" s="46" t="s">
        <v>8</v>
      </c>
      <c r="C12" s="105"/>
      <c r="D12" s="105"/>
      <c r="E12" s="7"/>
      <c r="F12" s="11" t="s">
        <v>9</v>
      </c>
      <c r="G12" s="49"/>
      <c r="H12" s="49"/>
      <c r="I12" s="13"/>
    </row>
    <row r="13" spans="1:9" ht="22.5" customHeight="1" thickBot="1" x14ac:dyDescent="0.3">
      <c r="A13" s="1"/>
      <c r="B13" s="50"/>
      <c r="C13" s="103"/>
      <c r="D13" s="103"/>
      <c r="E13" s="7"/>
      <c r="F13" s="14" t="s">
        <v>10</v>
      </c>
      <c r="G13" s="106"/>
      <c r="H13" s="107"/>
      <c r="I13" s="14"/>
    </row>
    <row r="14" spans="1:9" x14ac:dyDescent="0.3">
      <c r="A14" s="1"/>
      <c r="B14" s="15"/>
      <c r="C14" s="104"/>
      <c r="D14" s="104"/>
      <c r="E14" s="7"/>
      <c r="F14" s="57"/>
      <c r="G14" s="11"/>
      <c r="H14" s="11"/>
      <c r="I14" s="11"/>
    </row>
    <row r="15" spans="1:9" ht="14.25" customHeight="1" x14ac:dyDescent="0.3">
      <c r="A15" s="96" t="s">
        <v>11</v>
      </c>
      <c r="B15" s="97"/>
      <c r="C15" s="97"/>
      <c r="D15" s="97"/>
      <c r="E15" s="16"/>
      <c r="F15" s="58"/>
      <c r="G15" s="98" t="s">
        <v>12</v>
      </c>
      <c r="H15" s="99">
        <f>G53</f>
        <v>450000</v>
      </c>
      <c r="I15" s="99"/>
    </row>
    <row r="16" spans="1:9" ht="14.25" customHeight="1" x14ac:dyDescent="0.3">
      <c r="A16" s="97"/>
      <c r="B16" s="97"/>
      <c r="C16" s="97"/>
      <c r="D16" s="97"/>
      <c r="E16" s="16"/>
      <c r="F16" s="58"/>
      <c r="G16" s="98"/>
      <c r="H16" s="99"/>
      <c r="I16" s="99"/>
    </row>
    <row r="17" spans="1:14" ht="22.5" customHeight="1" x14ac:dyDescent="0.2">
      <c r="A17" s="17"/>
      <c r="B17" s="18"/>
      <c r="C17" s="18"/>
      <c r="D17" s="18"/>
      <c r="E17" s="18"/>
      <c r="F17" s="56"/>
      <c r="G17" s="18"/>
      <c r="H17" s="18"/>
      <c r="I17" s="51"/>
    </row>
    <row r="18" spans="1:14" ht="21" customHeight="1" x14ac:dyDescent="0.3">
      <c r="A18" s="29" t="s">
        <v>13</v>
      </c>
      <c r="B18" s="67" t="s">
        <v>23</v>
      </c>
      <c r="C18" s="29" t="s">
        <v>37</v>
      </c>
      <c r="D18" s="29" t="s">
        <v>36</v>
      </c>
      <c r="E18" s="27" t="s">
        <v>14</v>
      </c>
      <c r="F18" s="52" t="s">
        <v>15</v>
      </c>
      <c r="G18" s="74" t="s">
        <v>16</v>
      </c>
      <c r="H18" s="52" t="s">
        <v>17</v>
      </c>
      <c r="I18" s="30" t="s">
        <v>18</v>
      </c>
    </row>
    <row r="19" spans="1:14" s="19" customFormat="1" ht="22.5" customHeight="1" x14ac:dyDescent="0.3">
      <c r="A19" s="31"/>
      <c r="B19" s="72"/>
      <c r="C19" s="54"/>
      <c r="D19" s="81"/>
      <c r="E19" s="39"/>
      <c r="F19" s="39"/>
      <c r="G19" s="75"/>
      <c r="H19" s="48"/>
      <c r="I19" s="32"/>
    </row>
    <row r="20" spans="1:14" s="19" customFormat="1" ht="22.5" customHeight="1" x14ac:dyDescent="0.3">
      <c r="A20" s="31"/>
      <c r="B20" s="69" t="s">
        <v>40</v>
      </c>
      <c r="C20" s="68"/>
      <c r="D20" s="64"/>
      <c r="E20" s="28"/>
      <c r="F20" s="63"/>
      <c r="G20" s="68"/>
      <c r="H20" s="39"/>
      <c r="I20" s="32"/>
      <c r="L20" s="36" t="s">
        <v>24</v>
      </c>
      <c r="M20" s="36" t="s">
        <v>42</v>
      </c>
      <c r="N20" s="36" t="s">
        <v>43</v>
      </c>
    </row>
    <row r="21" spans="1:14" s="19" customFormat="1" ht="22.5" customHeight="1" x14ac:dyDescent="0.3">
      <c r="A21" s="31"/>
      <c r="B21" s="80"/>
      <c r="C21" s="68"/>
      <c r="D21" s="64" t="s">
        <v>39</v>
      </c>
      <c r="E21" s="39">
        <v>1</v>
      </c>
      <c r="F21" s="63">
        <v>22500</v>
      </c>
      <c r="G21" s="68">
        <f>F21*E21</f>
        <v>22500</v>
      </c>
      <c r="H21" s="83">
        <f>G21*12</f>
        <v>270000</v>
      </c>
      <c r="I21" s="32"/>
      <c r="L21" s="36" t="s">
        <v>25</v>
      </c>
      <c r="M21" s="37">
        <f>$G$21</f>
        <v>22500</v>
      </c>
      <c r="N21" s="37">
        <v>0</v>
      </c>
    </row>
    <row r="22" spans="1:14" s="19" customFormat="1" ht="22.5" customHeight="1" x14ac:dyDescent="0.3">
      <c r="A22" s="84" t="s">
        <v>47</v>
      </c>
      <c r="B22" s="85"/>
      <c r="C22" s="86"/>
      <c r="D22" s="87" t="s">
        <v>49</v>
      </c>
      <c r="E22" s="88">
        <v>1</v>
      </c>
      <c r="F22" s="89">
        <v>22500</v>
      </c>
      <c r="G22" s="86">
        <f>F22*E22</f>
        <v>22500</v>
      </c>
      <c r="H22" s="90" t="str">
        <f>연관리금액(G22, 8)</f>
        <v>180,000(8개월)</v>
      </c>
      <c r="I22" s="84"/>
      <c r="L22" s="36" t="s">
        <v>26</v>
      </c>
      <c r="M22" s="37">
        <f t="shared" ref="M22:M24" si="0">$G$21</f>
        <v>22500</v>
      </c>
      <c r="N22" s="37">
        <v>0</v>
      </c>
    </row>
    <row r="23" spans="1:14" s="19" customFormat="1" ht="22.5" customHeight="1" x14ac:dyDescent="0.3">
      <c r="A23" s="73"/>
      <c r="B23" s="80"/>
      <c r="C23" s="68"/>
      <c r="D23" s="64"/>
      <c r="E23" s="39"/>
      <c r="F23" s="63"/>
      <c r="G23" s="68"/>
      <c r="H23" s="83"/>
      <c r="I23" s="32"/>
      <c r="L23" s="36" t="s">
        <v>27</v>
      </c>
      <c r="M23" s="37">
        <f t="shared" si="0"/>
        <v>22500</v>
      </c>
      <c r="N23" s="37">
        <v>0</v>
      </c>
    </row>
    <row r="24" spans="1:14" s="19" customFormat="1" ht="22.5" customHeight="1" x14ac:dyDescent="0.3">
      <c r="A24" s="31"/>
      <c r="B24" s="80"/>
      <c r="C24" s="68"/>
      <c r="D24" s="64"/>
      <c r="E24" s="39"/>
      <c r="F24" s="63"/>
      <c r="G24" s="68"/>
      <c r="H24" s="39"/>
      <c r="I24" s="32"/>
      <c r="L24" s="36" t="s">
        <v>28</v>
      </c>
      <c r="M24" s="37">
        <f t="shared" si="0"/>
        <v>22500</v>
      </c>
      <c r="N24" s="37">
        <v>0</v>
      </c>
    </row>
    <row r="25" spans="1:14" s="19" customFormat="1" ht="22.5" customHeight="1" x14ac:dyDescent="0.3">
      <c r="A25" s="31"/>
      <c r="B25" s="69"/>
      <c r="C25" s="68"/>
      <c r="D25" s="64"/>
      <c r="E25" s="28"/>
      <c r="F25" s="63"/>
      <c r="G25" s="68"/>
      <c r="H25" s="39"/>
      <c r="I25" s="32"/>
      <c r="L25" s="36" t="s">
        <v>29</v>
      </c>
      <c r="M25" s="37">
        <f t="shared" ref="M25:M32" si="1">SUM($G$21:$G$22)</f>
        <v>45000</v>
      </c>
      <c r="N25" s="37">
        <v>0</v>
      </c>
    </row>
    <row r="26" spans="1:14" s="19" customFormat="1" ht="22.5" customHeight="1" x14ac:dyDescent="0.3">
      <c r="A26" s="31"/>
      <c r="B26" s="80"/>
      <c r="C26" s="68"/>
      <c r="D26" s="64"/>
      <c r="E26" s="39"/>
      <c r="F26" s="63"/>
      <c r="G26" s="68"/>
      <c r="H26" s="83"/>
      <c r="I26" s="32"/>
      <c r="L26" s="38" t="s">
        <v>30</v>
      </c>
      <c r="M26" s="37">
        <f t="shared" si="1"/>
        <v>45000</v>
      </c>
      <c r="N26" s="37">
        <v>0</v>
      </c>
    </row>
    <row r="27" spans="1:14" s="19" customFormat="1" ht="22.5" customHeight="1" x14ac:dyDescent="0.3">
      <c r="A27" s="31"/>
      <c r="B27" s="80"/>
      <c r="C27" s="68"/>
      <c r="D27" s="64"/>
      <c r="E27" s="39"/>
      <c r="F27" s="63"/>
      <c r="G27" s="68"/>
      <c r="H27" s="65"/>
      <c r="I27" s="32"/>
      <c r="L27" s="36" t="s">
        <v>31</v>
      </c>
      <c r="M27" s="37">
        <f t="shared" si="1"/>
        <v>45000</v>
      </c>
      <c r="N27" s="37">
        <v>0</v>
      </c>
    </row>
    <row r="28" spans="1:14" s="19" customFormat="1" ht="22.5" customHeight="1" x14ac:dyDescent="0.3">
      <c r="A28" s="31"/>
      <c r="B28" s="80"/>
      <c r="C28" s="68"/>
      <c r="D28" s="64"/>
      <c r="E28" s="28"/>
      <c r="F28" s="63"/>
      <c r="G28" s="68"/>
      <c r="H28" s="76"/>
      <c r="I28" s="32"/>
      <c r="L28" s="36" t="s">
        <v>32</v>
      </c>
      <c r="M28" s="37">
        <f t="shared" si="1"/>
        <v>45000</v>
      </c>
      <c r="N28" s="37">
        <v>0</v>
      </c>
    </row>
    <row r="29" spans="1:14" s="19" customFormat="1" ht="22.5" customHeight="1" x14ac:dyDescent="0.3">
      <c r="A29" s="31"/>
      <c r="B29" s="80"/>
      <c r="C29" s="68"/>
      <c r="D29" s="64"/>
      <c r="E29" s="28"/>
      <c r="F29" s="63"/>
      <c r="G29" s="68"/>
      <c r="H29" s="39"/>
      <c r="I29" s="32"/>
      <c r="L29" s="36" t="s">
        <v>33</v>
      </c>
      <c r="M29" s="37">
        <f t="shared" si="1"/>
        <v>45000</v>
      </c>
      <c r="N29" s="37">
        <v>0</v>
      </c>
    </row>
    <row r="30" spans="1:14" s="19" customFormat="1" ht="22.5" customHeight="1" x14ac:dyDescent="0.3">
      <c r="A30" s="31"/>
      <c r="B30" s="80"/>
      <c r="C30" s="68"/>
      <c r="D30" s="64"/>
      <c r="E30" s="28"/>
      <c r="F30" s="63"/>
      <c r="G30" s="68"/>
      <c r="H30" s="39"/>
      <c r="I30" s="32"/>
      <c r="L30" s="36" t="s">
        <v>34</v>
      </c>
      <c r="M30" s="37">
        <f t="shared" si="1"/>
        <v>45000</v>
      </c>
      <c r="N30" s="37">
        <v>0</v>
      </c>
    </row>
    <row r="31" spans="1:14" s="19" customFormat="1" ht="22.5" customHeight="1" x14ac:dyDescent="0.3">
      <c r="A31" s="31"/>
      <c r="B31" s="80"/>
      <c r="C31" s="68"/>
      <c r="D31" s="64"/>
      <c r="E31" s="28"/>
      <c r="F31" s="63"/>
      <c r="G31" s="68"/>
      <c r="H31" s="39"/>
      <c r="I31" s="32"/>
      <c r="L31" s="36" t="s">
        <v>45</v>
      </c>
      <c r="M31" s="37">
        <f t="shared" si="1"/>
        <v>45000</v>
      </c>
      <c r="N31" s="37">
        <v>0</v>
      </c>
    </row>
    <row r="32" spans="1:14" s="19" customFormat="1" ht="22.5" customHeight="1" x14ac:dyDescent="0.3">
      <c r="A32" s="31"/>
      <c r="B32" s="80"/>
      <c r="C32" s="68"/>
      <c r="D32" s="64"/>
      <c r="E32" s="28"/>
      <c r="F32" s="63"/>
      <c r="G32" s="68"/>
      <c r="H32" s="39"/>
      <c r="I32" s="32"/>
      <c r="L32" s="36" t="s">
        <v>46</v>
      </c>
      <c r="M32" s="37">
        <f t="shared" si="1"/>
        <v>45000</v>
      </c>
      <c r="N32" s="37">
        <v>0</v>
      </c>
    </row>
    <row r="33" spans="1:14" s="19" customFormat="1" ht="22.5" customHeight="1" x14ac:dyDescent="0.3">
      <c r="A33" s="31"/>
      <c r="B33" s="69"/>
      <c r="C33" s="68"/>
      <c r="D33" s="64"/>
      <c r="E33" s="28"/>
      <c r="F33" s="68"/>
      <c r="G33" s="68"/>
      <c r="H33" s="39"/>
      <c r="I33" s="32"/>
      <c r="L33" s="36" t="s">
        <v>35</v>
      </c>
      <c r="M33" s="37">
        <f>SUM(M21:M32)</f>
        <v>450000</v>
      </c>
      <c r="N33" s="37">
        <f>SUM(N21:N32)</f>
        <v>0</v>
      </c>
    </row>
    <row r="34" spans="1:14" s="19" customFormat="1" ht="22.5" customHeight="1" x14ac:dyDescent="0.3">
      <c r="A34" s="31"/>
      <c r="B34" s="73"/>
      <c r="C34" s="68"/>
      <c r="D34" s="64"/>
      <c r="E34" s="28"/>
      <c r="F34" s="68"/>
      <c r="G34" s="68"/>
      <c r="H34" s="39"/>
      <c r="I34" s="32"/>
      <c r="L34" s="60"/>
      <c r="M34" s="61"/>
      <c r="N34" s="61"/>
    </row>
    <row r="35" spans="1:14" s="19" customFormat="1" ht="22.5" customHeight="1" x14ac:dyDescent="0.3">
      <c r="A35" s="31"/>
      <c r="B35" s="73"/>
      <c r="C35" s="68"/>
      <c r="D35" s="64"/>
      <c r="E35" s="28"/>
      <c r="F35" s="68"/>
      <c r="G35" s="68"/>
      <c r="H35" s="39"/>
      <c r="I35" s="32"/>
    </row>
    <row r="36" spans="1:14" s="19" customFormat="1" ht="22.5" customHeight="1" x14ac:dyDescent="0.3">
      <c r="A36" s="31"/>
      <c r="B36" s="73"/>
      <c r="C36" s="68"/>
      <c r="D36" s="64"/>
      <c r="E36" s="28"/>
      <c r="F36" s="68"/>
      <c r="G36" s="68"/>
      <c r="H36" s="39"/>
      <c r="I36" s="32"/>
    </row>
    <row r="37" spans="1:14" s="19" customFormat="1" ht="22.5" customHeight="1" x14ac:dyDescent="0.3">
      <c r="A37" s="31"/>
      <c r="B37" s="73"/>
      <c r="C37" s="68"/>
      <c r="D37" s="64"/>
      <c r="E37" s="28"/>
      <c r="F37" s="68"/>
      <c r="G37" s="68"/>
      <c r="H37" s="39"/>
      <c r="I37" s="77"/>
    </row>
    <row r="38" spans="1:14" s="19" customFormat="1" ht="22.5" customHeight="1" x14ac:dyDescent="0.3">
      <c r="A38" s="33"/>
      <c r="B38" s="78"/>
      <c r="C38" s="79"/>
      <c r="D38" s="82"/>
      <c r="E38" s="34"/>
      <c r="F38" s="66"/>
      <c r="G38" s="66"/>
      <c r="H38" s="40"/>
      <c r="I38" s="35"/>
    </row>
    <row r="39" spans="1:14" s="19" customFormat="1" ht="15" customHeight="1" x14ac:dyDescent="0.3">
      <c r="A39" s="115"/>
      <c r="B39" s="115"/>
      <c r="C39" s="115"/>
      <c r="D39" s="115"/>
      <c r="E39" s="115"/>
      <c r="F39" s="115"/>
      <c r="G39" s="115"/>
      <c r="H39" s="115"/>
      <c r="I39" s="20"/>
    </row>
    <row r="40" spans="1:14" s="19" customFormat="1" ht="15" customHeight="1" x14ac:dyDescent="0.3">
      <c r="A40" s="115"/>
      <c r="B40" s="115"/>
      <c r="C40" s="115"/>
      <c r="D40" s="115"/>
      <c r="E40" s="115"/>
      <c r="F40" s="115"/>
      <c r="G40" s="115"/>
      <c r="H40" s="115"/>
      <c r="I40" s="20"/>
    </row>
    <row r="41" spans="1:14" s="19" customFormat="1" ht="15" customHeight="1" x14ac:dyDescent="0.3">
      <c r="A41" s="115" t="str">
        <f>" * 240701부로 " &amp; D22 &amp; " " &amp; B22 &amp; " " &amp; L42</f>
        <v xml:space="preserve"> * 240701부로 사무실  제품 1대 기존 유지관리 만기해지 및 신규 유지관리 시작</v>
      </c>
      <c r="B41" s="115"/>
      <c r="C41" s="115"/>
      <c r="D41" s="115"/>
      <c r="E41" s="115"/>
      <c r="F41" s="115"/>
      <c r="G41" s="115"/>
      <c r="H41" s="115"/>
      <c r="I41" s="20"/>
    </row>
    <row r="42" spans="1:14" s="19" customFormat="1" ht="15" customHeight="1" x14ac:dyDescent="0.3">
      <c r="A42" s="115"/>
      <c r="B42" s="115"/>
      <c r="C42" s="115"/>
      <c r="D42" s="115"/>
      <c r="E42" s="115"/>
      <c r="F42" s="115"/>
      <c r="G42" s="115"/>
      <c r="H42" s="115"/>
      <c r="I42" s="20"/>
      <c r="L42" s="19" t="s">
        <v>48</v>
      </c>
    </row>
    <row r="43" spans="1:14" s="19" customFormat="1" ht="15" customHeight="1" x14ac:dyDescent="0.3">
      <c r="A43" s="115"/>
      <c r="B43" s="115"/>
      <c r="C43" s="115"/>
      <c r="D43" s="115"/>
      <c r="E43" s="115"/>
      <c r="F43" s="115"/>
      <c r="G43" s="115"/>
      <c r="H43" s="115"/>
      <c r="I43" s="20"/>
    </row>
    <row r="44" spans="1:14" s="19" customFormat="1" ht="15" customHeight="1" x14ac:dyDescent="0.3">
      <c r="A44" s="115"/>
      <c r="B44" s="115"/>
      <c r="C44" s="115"/>
      <c r="D44" s="115"/>
      <c r="E44" s="115"/>
      <c r="F44" s="115"/>
      <c r="G44" s="115"/>
      <c r="H44" s="115"/>
      <c r="I44" s="20"/>
    </row>
    <row r="45" spans="1:14" s="19" customFormat="1" ht="15" customHeight="1" x14ac:dyDescent="0.3">
      <c r="A45" s="115"/>
      <c r="B45" s="115"/>
      <c r="C45" s="115"/>
      <c r="D45" s="115"/>
      <c r="E45" s="115"/>
      <c r="F45" s="115"/>
      <c r="G45" s="115"/>
      <c r="H45" s="115"/>
      <c r="I45" s="20"/>
    </row>
    <row r="46" spans="1:14" s="19" customFormat="1" ht="15" customHeight="1" x14ac:dyDescent="0.3">
      <c r="A46" s="115"/>
      <c r="B46" s="115"/>
      <c r="C46" s="115"/>
      <c r="D46" s="115"/>
      <c r="E46" s="115"/>
      <c r="F46" s="115"/>
      <c r="G46" s="115"/>
      <c r="H46" s="115"/>
      <c r="I46" s="20"/>
    </row>
    <row r="47" spans="1:14" s="19" customFormat="1" ht="15" customHeight="1" x14ac:dyDescent="0.3">
      <c r="A47" s="115"/>
      <c r="B47" s="115"/>
      <c r="C47" s="115"/>
      <c r="D47" s="115"/>
      <c r="E47" s="115"/>
      <c r="F47" s="115"/>
      <c r="G47" s="115"/>
      <c r="H47" s="115"/>
      <c r="I47" s="20"/>
    </row>
    <row r="48" spans="1:14" s="19" customFormat="1" ht="15" customHeight="1" x14ac:dyDescent="0.3">
      <c r="A48" s="115"/>
      <c r="B48" s="115"/>
      <c r="C48" s="115"/>
      <c r="D48" s="115"/>
      <c r="E48" s="115"/>
      <c r="F48" s="115"/>
      <c r="G48" s="115"/>
      <c r="H48" s="115"/>
      <c r="I48" s="20"/>
    </row>
    <row r="49" spans="1:9" s="19" customFormat="1" ht="15" customHeight="1" x14ac:dyDescent="0.3">
      <c r="A49" s="116" t="s">
        <v>41</v>
      </c>
      <c r="B49" s="116"/>
      <c r="C49" s="116"/>
      <c r="D49" s="116"/>
      <c r="E49" s="116"/>
      <c r="F49" s="116"/>
      <c r="G49" s="116"/>
      <c r="H49" s="116"/>
      <c r="I49" s="20"/>
    </row>
    <row r="50" spans="1:9" s="19" customFormat="1" ht="15" customHeight="1" x14ac:dyDescent="0.3">
      <c r="A50" s="116"/>
      <c r="B50" s="116"/>
      <c r="C50" s="116"/>
      <c r="D50" s="116"/>
      <c r="E50" s="116"/>
      <c r="F50" s="116"/>
      <c r="G50" s="116"/>
      <c r="H50" s="116"/>
      <c r="I50" s="20"/>
    </row>
    <row r="51" spans="1:9" ht="22.5" customHeight="1" x14ac:dyDescent="0.3">
      <c r="A51" s="108" t="s">
        <v>19</v>
      </c>
      <c r="B51" s="108"/>
      <c r="C51" s="21"/>
      <c r="D51" s="21"/>
      <c r="E51" s="22">
        <f>SUM(E19:E50)</f>
        <v>2</v>
      </c>
      <c r="F51" s="41"/>
      <c r="G51" s="70">
        <f>SUM(G19:G50)</f>
        <v>45000</v>
      </c>
      <c r="H51" s="42">
        <f>연납입금액(H21:H23)</f>
        <v>450000</v>
      </c>
      <c r="I51" s="23"/>
    </row>
    <row r="52" spans="1:9" ht="22.5" customHeight="1" x14ac:dyDescent="0.3">
      <c r="A52" s="110" t="s">
        <v>20</v>
      </c>
      <c r="B52" s="110"/>
      <c r="C52" s="111"/>
      <c r="D52" s="111"/>
      <c r="E52" s="111"/>
      <c r="F52" s="111"/>
      <c r="G52" s="112"/>
      <c r="H52" s="112"/>
      <c r="I52" s="24"/>
    </row>
    <row r="53" spans="1:9" ht="22.5" customHeight="1" x14ac:dyDescent="0.3">
      <c r="A53" s="113" t="s">
        <v>21</v>
      </c>
      <c r="B53" s="113"/>
      <c r="C53" s="25"/>
      <c r="D53" s="43"/>
      <c r="E53" s="26"/>
      <c r="F53" s="44"/>
      <c r="G53" s="114">
        <f>H51+G52</f>
        <v>450000</v>
      </c>
      <c r="H53" s="114"/>
      <c r="I53" s="26"/>
    </row>
    <row r="54" spans="1:9" x14ac:dyDescent="0.3">
      <c r="A54" s="1"/>
      <c r="B54" s="1"/>
      <c r="C54" s="1"/>
      <c r="D54" s="1"/>
      <c r="E54" s="1"/>
      <c r="F54" s="55"/>
      <c r="G54" s="1"/>
      <c r="H54" s="1"/>
      <c r="I54" s="1"/>
    </row>
    <row r="55" spans="1:9" ht="17.25" x14ac:dyDescent="0.3">
      <c r="A55" s="109"/>
      <c r="B55" s="109"/>
      <c r="C55" s="109"/>
      <c r="D55" s="109"/>
      <c r="E55" s="109"/>
      <c r="F55" s="109"/>
      <c r="G55" s="109"/>
      <c r="H55" s="109"/>
      <c r="I55" s="109"/>
    </row>
  </sheetData>
  <mergeCells count="29">
    <mergeCell ref="A43:H44"/>
    <mergeCell ref="A45:H46"/>
    <mergeCell ref="A49:H50"/>
    <mergeCell ref="A47:H48"/>
    <mergeCell ref="A39:H40"/>
    <mergeCell ref="A41:H42"/>
    <mergeCell ref="A51:B51"/>
    <mergeCell ref="A55:I55"/>
    <mergeCell ref="A52:B52"/>
    <mergeCell ref="C52:F52"/>
    <mergeCell ref="G52:H52"/>
    <mergeCell ref="A53:B53"/>
    <mergeCell ref="G53:H53"/>
    <mergeCell ref="A15:D16"/>
    <mergeCell ref="G15:G16"/>
    <mergeCell ref="H15:I16"/>
    <mergeCell ref="F10:F11"/>
    <mergeCell ref="G10:I11"/>
    <mergeCell ref="C13:D13"/>
    <mergeCell ref="C14:D14"/>
    <mergeCell ref="C12:D12"/>
    <mergeCell ref="C11:D11"/>
    <mergeCell ref="G13:H13"/>
    <mergeCell ref="C10:D10"/>
    <mergeCell ref="C9:D9"/>
    <mergeCell ref="C8:D8"/>
    <mergeCell ref="A3:I3"/>
    <mergeCell ref="C4:H4"/>
    <mergeCell ref="B7:C7"/>
  </mergeCells>
  <phoneticPr fontId="3" type="noConversion"/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73" orientation="portrait" copies="1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견적서</vt:lpstr>
      <vt:lpstr>견적서!Print_Area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박성민</dc:creator>
  <cp:lastModifiedBy>신인호</cp:lastModifiedBy>
  <cp:lastPrinted>2023-02-09T06:54:37Z</cp:lastPrinted>
  <dcterms:created xsi:type="dcterms:W3CDTF">2021-11-08T23:26:43Z</dcterms:created>
  <dcterms:modified xsi:type="dcterms:W3CDTF">2023-10-23T09:12:06Z</dcterms:modified>
</cp:coreProperties>
</file>